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7CC6CF2-32EB-4912-BDA8-6F73B700B7BE}" xr6:coauthVersionLast="41" xr6:coauthVersionMax="41" xr10:uidLastSave="{00000000-0000-0000-0000-000000000000}"/>
  <bookViews>
    <workbookView xWindow="-108" yWindow="-108" windowWidth="23256" windowHeight="12456" xr2:uid="{00000000-000D-0000-FFFF-FFFF00000000}"/>
  </bookViews>
  <sheets>
    <sheet name="Influencer_Data" sheetId="1" r:id="rId1"/>
    <sheet name="Assumptions" sheetId="2" r:id="rId2"/>
  </sheets>
  <calcPr calcId="191029"/>
</workbook>
</file>

<file path=xl/calcChain.xml><?xml version="1.0" encoding="utf-8"?>
<calcChain xmlns="http://schemas.openxmlformats.org/spreadsheetml/2006/main">
  <c r="G6" i="1" l="1"/>
  <c r="I6" i="1" s="1"/>
  <c r="K6" i="1" s="1"/>
  <c r="F6" i="1"/>
  <c r="G5" i="1"/>
  <c r="I5" i="1" s="1"/>
  <c r="K5" i="1" s="1"/>
  <c r="F5" i="1"/>
  <c r="G4" i="1"/>
  <c r="I4" i="1" s="1"/>
  <c r="K4" i="1" s="1"/>
  <c r="F4" i="1"/>
  <c r="G3" i="1"/>
  <c r="I3" i="1" s="1"/>
  <c r="K3" i="1" s="1"/>
  <c r="F3" i="1"/>
  <c r="G2" i="1"/>
  <c r="I2" i="1" s="1"/>
  <c r="K2" i="1" s="1"/>
  <c r="F2" i="1"/>
</calcChain>
</file>

<file path=xl/sharedStrings.xml><?xml version="1.0" encoding="utf-8"?>
<sst xmlns="http://schemas.openxmlformats.org/spreadsheetml/2006/main" count="25" uniqueCount="25">
  <si>
    <t>Influencer</t>
  </si>
  <si>
    <t>Followers</t>
  </si>
  <si>
    <t>Likes</t>
  </si>
  <si>
    <t>Comments</t>
  </si>
  <si>
    <t>Estimated Shares</t>
  </si>
  <si>
    <t>Engagement Rate (%)</t>
  </si>
  <si>
    <t>Estimated Reach</t>
  </si>
  <si>
    <t>CTR (%)</t>
  </si>
  <si>
    <t>Estimated Conversions</t>
  </si>
  <si>
    <t>Average Order Value (₹)</t>
  </si>
  <si>
    <t>Estimated Sales (₹)</t>
  </si>
  <si>
    <t>Shreya Jain</t>
  </si>
  <si>
    <t>Jovita George</t>
  </si>
  <si>
    <t>Shweta Vijay</t>
  </si>
  <si>
    <t>Tarini Shah</t>
  </si>
  <si>
    <t>Dr. Aanchal Panth</t>
  </si>
  <si>
    <t>Project Assumptions</t>
  </si>
  <si>
    <t>Reach Rate</t>
  </si>
  <si>
    <t>20% of Followers</t>
  </si>
  <si>
    <t>CTR</t>
  </si>
  <si>
    <t>1.5%</t>
  </si>
  <si>
    <t>Conversion Rate</t>
  </si>
  <si>
    <t>5%</t>
  </si>
  <si>
    <t>Average Order Value</t>
  </si>
  <si>
    <t>₹599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</si>
</sst>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J21" sqref="J21"/>
    </sheetView>
  </sheetViews>
  <sheetFormatPr defaultRowHeight="14.4" x14ac:dyDescent="0.3"/>
  <cols>
    <col min="1" max="1" width="12.21875" customWidth="1"/>
    <col min="2" max="2" width="10.33203125" customWidth="1"/>
    <col min="5" max="5" width="15.77734375" customWidth="1"/>
    <col min="6" max="6" width="11.6640625" customWidth="1"/>
    <col min="7" max="7" width="10.44140625" customWidth="1"/>
    <col min="8" max="8" width="11.77734375" customWidth="1"/>
    <col min="9" max="9" width="20.77734375" customWidth="1"/>
    <col min="10" max="10" width="21.21875" customWidth="1"/>
    <col min="11" max="11" width="16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950000</v>
      </c>
      <c r="C2">
        <v>28000</v>
      </c>
      <c r="D2">
        <v>850</v>
      </c>
      <c r="E2">
        <v>450</v>
      </c>
      <c r="F2">
        <f>((C2+D2+E2)/B2)*100</f>
        <v>3.0842105263157897</v>
      </c>
      <c r="G2">
        <f>B2*0.2</f>
        <v>190000</v>
      </c>
      <c r="H2">
        <v>1.5</v>
      </c>
      <c r="I2">
        <f>G2*H2/100*0.05</f>
        <v>142.5</v>
      </c>
      <c r="J2">
        <v>599</v>
      </c>
      <c r="K2">
        <f>I2*J2</f>
        <v>85357.5</v>
      </c>
    </row>
    <row r="3" spans="1:11" x14ac:dyDescent="0.3">
      <c r="A3" t="s">
        <v>12</v>
      </c>
      <c r="B3">
        <v>650000</v>
      </c>
      <c r="C3">
        <v>22000</v>
      </c>
      <c r="D3">
        <v>700</v>
      </c>
      <c r="E3">
        <v>350</v>
      </c>
      <c r="F3">
        <f>((C3+D3+E3)/B3)*100</f>
        <v>3.546153846153846</v>
      </c>
      <c r="G3">
        <f>B3*0.2</f>
        <v>130000</v>
      </c>
      <c r="H3">
        <v>1.5</v>
      </c>
      <c r="I3">
        <f>G3*H3/100*0.05</f>
        <v>97.5</v>
      </c>
      <c r="J3">
        <v>599</v>
      </c>
      <c r="K3">
        <f>I3*J3</f>
        <v>58402.5</v>
      </c>
    </row>
    <row r="4" spans="1:11" x14ac:dyDescent="0.3">
      <c r="A4" t="s">
        <v>13</v>
      </c>
      <c r="B4">
        <v>500000</v>
      </c>
      <c r="C4">
        <v>18000</v>
      </c>
      <c r="D4">
        <v>600</v>
      </c>
      <c r="E4">
        <v>300</v>
      </c>
      <c r="F4">
        <f>((C4+D4+E4)/B4)*100</f>
        <v>3.7800000000000002</v>
      </c>
      <c r="G4">
        <f>B4*0.2</f>
        <v>100000</v>
      </c>
      <c r="H4">
        <v>1.5</v>
      </c>
      <c r="I4">
        <f>G4*H4/100*0.05</f>
        <v>75</v>
      </c>
      <c r="J4">
        <v>599</v>
      </c>
      <c r="K4">
        <f>I4*J4</f>
        <v>44925</v>
      </c>
    </row>
    <row r="5" spans="1:11" x14ac:dyDescent="0.3">
      <c r="A5" t="s">
        <v>14</v>
      </c>
      <c r="B5">
        <v>400000</v>
      </c>
      <c r="C5">
        <v>15000</v>
      </c>
      <c r="D5">
        <v>450</v>
      </c>
      <c r="E5">
        <v>250</v>
      </c>
      <c r="F5">
        <f>((C5+D5+E5)/B5)*100</f>
        <v>3.9249999999999998</v>
      </c>
      <c r="G5">
        <f>B5*0.2</f>
        <v>80000</v>
      </c>
      <c r="H5">
        <v>1.5</v>
      </c>
      <c r="I5">
        <f>G5*H5/100*0.05</f>
        <v>60</v>
      </c>
      <c r="J5">
        <v>599</v>
      </c>
      <c r="K5">
        <f>I5*J5</f>
        <v>35940</v>
      </c>
    </row>
    <row r="6" spans="1:11" x14ac:dyDescent="0.3">
      <c r="A6" t="s">
        <v>15</v>
      </c>
      <c r="B6">
        <v>300000</v>
      </c>
      <c r="C6">
        <v>12000</v>
      </c>
      <c r="D6">
        <v>400</v>
      </c>
      <c r="E6">
        <v>200</v>
      </c>
      <c r="F6">
        <f>((C6+D6+E6)/B6)*100</f>
        <v>4.2</v>
      </c>
      <c r="G6">
        <f>B6*0.2</f>
        <v>60000</v>
      </c>
      <c r="H6">
        <v>1.5</v>
      </c>
      <c r="I6">
        <f>G6*H6/100*0.05</f>
        <v>45</v>
      </c>
      <c r="J6">
        <v>599</v>
      </c>
      <c r="K6">
        <f>I6*J6</f>
        <v>26955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1" sqref="B1:B1048576"/>
    </sheetView>
  </sheetViews>
  <sheetFormatPr defaultRowHeight="14.4" x14ac:dyDescent="0.3"/>
  <cols>
    <col min="1" max="1" width="18.44140625" customWidth="1"/>
    <col min="2" max="2" width="19.33203125" customWidth="1"/>
  </cols>
  <sheetData>
    <row r="1" spans="1:2" x14ac:dyDescent="0.3">
      <c r="A1" s="1" t="s">
        <v>16</v>
      </c>
    </row>
    <row r="2" spans="1:2" x14ac:dyDescent="0.3">
      <c r="A2" t="s">
        <v>17</v>
      </c>
      <c r="B2" t="s">
        <v>18</v>
      </c>
    </row>
    <row r="3" spans="1:2" x14ac:dyDescent="0.3">
      <c r="A3" t="s">
        <v>19</v>
      </c>
      <c r="B3" t="s">
        <v>20</v>
      </c>
    </row>
    <row r="4" spans="1:2" x14ac:dyDescent="0.3">
      <c r="A4" t="s">
        <v>21</v>
      </c>
      <c r="B4" t="s">
        <v>22</v>
      </c>
    </row>
    <row r="5" spans="1:2" x14ac:dyDescent="0.3">
      <c r="A5" t="s">
        <v>23</v>
      </c>
      <c r="B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Influencer_Data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2026-07-21T14:54:53Z</dcterms:created>
  <dcterms:modified xsi:type="dcterms:W3CDTF">2026-07-21T16:58:22Z</dcterms:modified>
</cp:coreProperties>
</file>